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MC\OneDrive\바탕 화면\routine\"/>
    </mc:Choice>
  </mc:AlternateContent>
  <bookViews>
    <workbookView xWindow="360" yWindow="495" windowWidth="51195" windowHeight="26355"/>
  </bookViews>
  <sheets>
    <sheet name="FPMMI001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" i="1" l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F8" i="1"/>
</calcChain>
</file>

<file path=xl/sharedStrings.xml><?xml version="1.0" encoding="utf-8"?>
<sst xmlns="http://schemas.openxmlformats.org/spreadsheetml/2006/main" count="90" uniqueCount="64">
  <si>
    <t>No</t>
  </si>
  <si>
    <t>1</t>
  </si>
  <si>
    <t>검사항목</t>
  </si>
  <si>
    <t>검체명</t>
  </si>
  <si>
    <t>참고치</t>
  </si>
  <si>
    <t>Monoclonal peak</t>
  </si>
  <si>
    <t>Serum</t>
  </si>
  <si>
    <t>Kappa light chain 정량</t>
  </si>
  <si>
    <t>3.30~19.40</t>
  </si>
  <si>
    <t>Lambda light chain 정량</t>
  </si>
  <si>
    <t>5.71~26.30</t>
  </si>
  <si>
    <t>24 hrs urine</t>
  </si>
  <si>
    <t>치료 여부</t>
    <phoneticPr fontId="3" type="noConversion"/>
  </si>
  <si>
    <t>VGPR</t>
    <phoneticPr fontId="3" type="noConversion"/>
  </si>
  <si>
    <t>CR</t>
    <phoneticPr fontId="3" type="noConversion"/>
  </si>
  <si>
    <t>Baseline for 1st line</t>
    <phoneticPr fontId="3" type="noConversion"/>
  </si>
  <si>
    <t>Baseline for 2nd line</t>
    <phoneticPr fontId="3" type="noConversion"/>
  </si>
  <si>
    <t>SPEP</t>
    <phoneticPr fontId="3" type="noConversion"/>
  </si>
  <si>
    <t>serum Kappa</t>
    <phoneticPr fontId="3" type="noConversion"/>
  </si>
  <si>
    <t>UPEP</t>
    <phoneticPr fontId="3" type="noConversion"/>
  </si>
  <si>
    <t>Response평가 결과</t>
    <phoneticPr fontId="3" type="noConversion"/>
  </si>
  <si>
    <t>serum Lambda</t>
    <phoneticPr fontId="3" type="noConversion"/>
  </si>
  <si>
    <t>2020-
02-03
07:51</t>
  </si>
  <si>
    <t>2020-
02-10
08:00</t>
  </si>
  <si>
    <t>2020-
02-17
07:53</t>
  </si>
  <si>
    <t>2020-
02-27
12:18</t>
  </si>
  <si>
    <t>2020-
03-26
10:20</t>
  </si>
  <si>
    <t>2020-
04-23
11:13</t>
  </si>
  <si>
    <t>2020-
06-18
10:20</t>
  </si>
  <si>
    <t>2020-
08-20
10:18</t>
  </si>
  <si>
    <t>2020-
11-19
11:03</t>
  </si>
  <si>
    <t>2021-
03-04
13:20</t>
  </si>
  <si>
    <t>2021-
05-27
11:03</t>
  </si>
  <si>
    <t>2021-
09-02
11:23</t>
  </si>
  <si>
    <t>2021-
12-09
11:44</t>
  </si>
  <si>
    <t>2022-
02-10
10:59</t>
  </si>
  <si>
    <t>2022-
04-21
10:29</t>
  </si>
  <si>
    <t>2022-
06-16
10:53</t>
  </si>
  <si>
    <t>2022-
10-11
10:56</t>
  </si>
  <si>
    <t>2023-
02-06
08:35</t>
  </si>
  <si>
    <t>2023-
03-06
06:59</t>
  </si>
  <si>
    <t>2023-
06-12
06:37</t>
  </si>
  <si>
    <t>2023-
08-24
12:38</t>
  </si>
  <si>
    <t>2023-
08-28
08:28</t>
  </si>
  <si>
    <t>2023-
10-16
07:39</t>
  </si>
  <si>
    <t>2023-
10-30
08:25</t>
  </si>
  <si>
    <t>2023-
11-02
06:00</t>
  </si>
  <si>
    <t>2023-
11-06
04:52</t>
  </si>
  <si>
    <t>2023-
11-17
10:12</t>
  </si>
  <si>
    <t>2023-
12-01
10:11</t>
  </si>
  <si>
    <t>2023-
12-29
10:13</t>
  </si>
  <si>
    <t>2024-
01-12
10:13</t>
  </si>
  <si>
    <t>2024-
02-07
10:26</t>
  </si>
  <si>
    <t>2024-
02-26
07:00</t>
  </si>
  <si>
    <t>2024-
03-04
07:03</t>
  </si>
  <si>
    <t>2024-
04-22
10:06</t>
  </si>
  <si>
    <t>2024-
07-01
10:17</t>
  </si>
  <si>
    <t>2024-
11-11
06:45</t>
  </si>
  <si>
    <t>2025-
01-06
10:20</t>
  </si>
  <si>
    <t>2025-
03-13
10:20</t>
  </si>
  <si>
    <t>progression</t>
    <phoneticPr fontId="3" type="noConversion"/>
  </si>
  <si>
    <t>MR</t>
    <phoneticPr fontId="3" type="noConversion"/>
  </si>
  <si>
    <t>PR</t>
    <phoneticPr fontId="3" type="noConversion"/>
  </si>
  <si>
    <t>VGPR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</si>
</sst>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맑은 고딕"/>
      <family val="2"/>
      <charset val="129"/>
      <scheme val="minor"/>
    </font>
    <font>
      <sz val="9"/>
      <color rgb="FF333333"/>
      <name val="Dotum"/>
      <family val="3"/>
    </font>
    <font>
      <sz val="9"/>
      <color rgb="FF000000"/>
      <name val="Dotum"/>
      <family val="3"/>
    </font>
    <font>
      <sz val="8"/>
      <name val="맑은 고딕"/>
      <family val="2"/>
      <charset val="129"/>
      <scheme val="minor"/>
    </font>
    <font>
      <b/>
      <sz val="9"/>
      <color rgb="FF333333"/>
      <name val="Dotum"/>
    </font>
    <font>
      <b/>
      <sz val="9"/>
      <color rgb="FF333333"/>
      <name val="Dotum"/>
      <family val="3"/>
    </font>
    <font>
      <b/>
      <sz val="9"/>
      <color rgb="FF000000"/>
      <name val="Dotum"/>
      <family val="3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49" fontId="6" fillId="3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Q12"/>
  <sheetViews>
    <sheetView tabSelected="1" topLeftCell="A2" zoomScaleNormal="100" workbookViewId="0">
      <selection activeCell="A5" sqref="A5"/>
    </sheetView>
  </sheetViews>
  <sheetFormatPr defaultColWidth="8.875" defaultRowHeight="16.5"/>
  <cols>
    <col min="1" max="1" width="6" style="3" customWidth="1"/>
    <col min="2" max="2" width="15" style="5" customWidth="1"/>
    <col min="3" max="3" width="18.375" style="3" customWidth="1"/>
    <col min="4" max="4" width="14.125" style="3" customWidth="1"/>
    <col min="5" max="5" width="11.75" style="3" customWidth="1"/>
    <col min="6" max="31" width="7.375" style="3" customWidth="1"/>
    <col min="32" max="16384" width="8.875" style="3"/>
  </cols>
  <sheetData>
    <row r="3" spans="1:43" ht="27.95" customHeight="1">
      <c r="A3" s="6" t="s">
        <v>0</v>
      </c>
      <c r="B3" s="7" t="s">
        <v>1</v>
      </c>
      <c r="C3" s="14" t="s">
        <v>2</v>
      </c>
      <c r="D3" s="14" t="s">
        <v>3</v>
      </c>
      <c r="E3" s="14" t="s">
        <v>4</v>
      </c>
      <c r="F3" s="14" t="s">
        <v>22</v>
      </c>
      <c r="G3" s="14" t="s">
        <v>23</v>
      </c>
      <c r="H3" s="14" t="s">
        <v>24</v>
      </c>
      <c r="I3" s="14" t="s">
        <v>25</v>
      </c>
      <c r="J3" s="14" t="s">
        <v>26</v>
      </c>
      <c r="K3" s="14" t="s">
        <v>27</v>
      </c>
      <c r="L3" s="14" t="s">
        <v>28</v>
      </c>
      <c r="M3" s="14" t="s">
        <v>29</v>
      </c>
      <c r="N3" s="14" t="s">
        <v>30</v>
      </c>
      <c r="O3" s="14" t="s">
        <v>31</v>
      </c>
      <c r="P3" s="14" t="s">
        <v>32</v>
      </c>
      <c r="Q3" s="14" t="s">
        <v>33</v>
      </c>
      <c r="R3" s="14" t="s">
        <v>34</v>
      </c>
      <c r="S3" s="14" t="s">
        <v>35</v>
      </c>
      <c r="T3" s="14" t="s">
        <v>36</v>
      </c>
      <c r="U3" s="14" t="s">
        <v>37</v>
      </c>
      <c r="V3" s="14" t="s">
        <v>38</v>
      </c>
      <c r="W3" s="14" t="s">
        <v>39</v>
      </c>
      <c r="X3" s="14" t="s">
        <v>40</v>
      </c>
      <c r="Y3" s="14" t="s">
        <v>41</v>
      </c>
      <c r="Z3" s="14" t="s">
        <v>42</v>
      </c>
      <c r="AA3" s="14" t="s">
        <v>43</v>
      </c>
      <c r="AB3" s="14" t="s">
        <v>44</v>
      </c>
      <c r="AC3" s="14" t="s">
        <v>45</v>
      </c>
      <c r="AD3" s="14" t="s">
        <v>46</v>
      </c>
      <c r="AE3" s="14" t="s">
        <v>47</v>
      </c>
      <c r="AF3" s="14" t="s">
        <v>48</v>
      </c>
      <c r="AG3" s="14" t="s">
        <v>49</v>
      </c>
      <c r="AH3" s="14" t="s">
        <v>50</v>
      </c>
      <c r="AI3" s="14" t="s">
        <v>51</v>
      </c>
      <c r="AJ3" s="14" t="s">
        <v>52</v>
      </c>
      <c r="AK3" s="14" t="s">
        <v>53</v>
      </c>
      <c r="AL3" s="14" t="s">
        <v>54</v>
      </c>
      <c r="AM3" s="14" t="s">
        <v>55</v>
      </c>
      <c r="AN3" s="14" t="s">
        <v>56</v>
      </c>
      <c r="AO3" s="14" t="s">
        <v>57</v>
      </c>
      <c r="AP3" s="14" t="s">
        <v>58</v>
      </c>
      <c r="AQ3" s="14" t="s">
        <v>59</v>
      </c>
    </row>
    <row r="4" spans="1:43" ht="14.1" customHeight="1">
      <c r="A4" s="8">
        <v>1</v>
      </c>
      <c r="B4" s="9" t="s">
        <v>17</v>
      </c>
      <c r="C4" s="15" t="s">
        <v>5</v>
      </c>
      <c r="D4" s="15" t="s">
        <v>6</v>
      </c>
      <c r="E4" s="15"/>
      <c r="F4" s="15">
        <v>0.06</v>
      </c>
      <c r="G4" s="15"/>
      <c r="H4" s="15">
        <v>0.04</v>
      </c>
      <c r="I4" s="15">
        <v>7.0000000000000007E-2</v>
      </c>
      <c r="J4" s="15">
        <v>0.13</v>
      </c>
      <c r="K4" s="15">
        <v>0.2</v>
      </c>
      <c r="L4" s="15">
        <v>0.16</v>
      </c>
      <c r="M4" s="15">
        <v>7.0000000000000007E-2</v>
      </c>
      <c r="N4" s="15">
        <v>0</v>
      </c>
      <c r="O4" s="15">
        <v>0</v>
      </c>
      <c r="P4" s="15">
        <v>0</v>
      </c>
      <c r="Q4" s="15">
        <v>0</v>
      </c>
      <c r="R4" s="15">
        <v>0.04</v>
      </c>
      <c r="S4" s="15">
        <v>0.08</v>
      </c>
      <c r="T4" s="15">
        <v>0.05</v>
      </c>
      <c r="U4" s="15">
        <v>0.04</v>
      </c>
      <c r="V4" s="15">
        <v>0.06</v>
      </c>
      <c r="W4" s="15">
        <v>0.04</v>
      </c>
      <c r="X4" s="15">
        <v>0.05</v>
      </c>
      <c r="Y4" s="15">
        <v>7.0000000000000007E-2</v>
      </c>
      <c r="Z4" s="15">
        <v>0.03</v>
      </c>
      <c r="AA4" s="15">
        <v>0.03</v>
      </c>
      <c r="AB4" s="15">
        <v>0.03</v>
      </c>
      <c r="AC4" s="15">
        <v>0.03</v>
      </c>
      <c r="AD4" s="15"/>
      <c r="AE4" s="15">
        <v>0.03</v>
      </c>
      <c r="AF4" s="15">
        <v>0.03</v>
      </c>
      <c r="AG4" s="15">
        <v>0.03</v>
      </c>
      <c r="AH4" s="15">
        <v>0.02</v>
      </c>
      <c r="AI4" s="15">
        <v>0.03</v>
      </c>
      <c r="AJ4" s="15">
        <v>0.03</v>
      </c>
      <c r="AK4" s="15">
        <v>0.02</v>
      </c>
      <c r="AL4" s="15"/>
      <c r="AM4" s="15">
        <v>0.03</v>
      </c>
      <c r="AN4" s="15">
        <v>0.05</v>
      </c>
      <c r="AO4" s="15">
        <v>0.17</v>
      </c>
      <c r="AP4" s="15">
        <v>0.16</v>
      </c>
      <c r="AQ4" s="15">
        <v>0.05</v>
      </c>
    </row>
    <row r="5" spans="1:43" ht="14.1" customHeight="1">
      <c r="A5" s="10">
        <v>2</v>
      </c>
      <c r="B5" s="11" t="s">
        <v>18</v>
      </c>
      <c r="C5" s="16" t="s">
        <v>7</v>
      </c>
      <c r="D5" s="16" t="s">
        <v>6</v>
      </c>
      <c r="E5" s="16" t="s">
        <v>8</v>
      </c>
      <c r="F5" s="16">
        <v>346.16</v>
      </c>
      <c r="G5" s="16">
        <v>17.34</v>
      </c>
      <c r="H5" s="16">
        <v>13.13</v>
      </c>
      <c r="I5" s="16">
        <v>20.350000000000001</v>
      </c>
      <c r="J5" s="16">
        <v>28.95</v>
      </c>
      <c r="K5" s="16">
        <v>23.15</v>
      </c>
      <c r="L5" s="16">
        <v>21.46</v>
      </c>
      <c r="M5" s="16">
        <v>20.38</v>
      </c>
      <c r="N5" s="16">
        <v>30.43</v>
      </c>
      <c r="O5" s="16">
        <v>33.06</v>
      </c>
      <c r="P5" s="16">
        <v>27.63</v>
      </c>
      <c r="Q5" s="16">
        <v>27.24</v>
      </c>
      <c r="R5" s="16">
        <v>31.09</v>
      </c>
      <c r="S5" s="16">
        <v>32.4</v>
      </c>
      <c r="T5" s="16">
        <v>40.340000000000003</v>
      </c>
      <c r="U5" s="16">
        <v>57.34</v>
      </c>
      <c r="V5" s="16">
        <v>74.459999999999994</v>
      </c>
      <c r="W5" s="16">
        <v>132.29</v>
      </c>
      <c r="X5" s="16">
        <v>150.24</v>
      </c>
      <c r="Y5" s="16">
        <v>184.56</v>
      </c>
      <c r="Z5" s="16">
        <v>245.27</v>
      </c>
      <c r="AA5" s="16">
        <v>248.72</v>
      </c>
      <c r="AB5" s="16">
        <v>244.96</v>
      </c>
      <c r="AC5" s="16">
        <v>356.25</v>
      </c>
      <c r="AD5" s="16"/>
      <c r="AE5" s="16">
        <v>219.51</v>
      </c>
      <c r="AF5" s="16">
        <v>65.38</v>
      </c>
      <c r="AG5" s="16">
        <v>44.71</v>
      </c>
      <c r="AH5" s="16">
        <v>37.11</v>
      </c>
      <c r="AI5" s="16">
        <v>36.299999999999997</v>
      </c>
      <c r="AJ5" s="16">
        <v>34.35</v>
      </c>
      <c r="AK5" s="16">
        <v>42.26</v>
      </c>
      <c r="AL5" s="16">
        <v>29.37</v>
      </c>
      <c r="AM5" s="16">
        <v>31.02</v>
      </c>
      <c r="AN5" s="16">
        <v>24.73</v>
      </c>
      <c r="AO5" s="16">
        <v>48.44</v>
      </c>
      <c r="AP5" s="16">
        <v>88.46</v>
      </c>
      <c r="AQ5" s="16">
        <v>37.1</v>
      </c>
    </row>
    <row r="6" spans="1:43" ht="14.1" customHeight="1">
      <c r="A6" s="12">
        <v>3</v>
      </c>
      <c r="B6" s="11" t="s">
        <v>21</v>
      </c>
      <c r="C6" s="17" t="s">
        <v>9</v>
      </c>
      <c r="D6" s="17" t="s">
        <v>6</v>
      </c>
      <c r="E6" s="17" t="s">
        <v>10</v>
      </c>
      <c r="F6" s="17">
        <v>11.57</v>
      </c>
      <c r="G6" s="17">
        <v>8.2799999999999994</v>
      </c>
      <c r="H6" s="17">
        <v>10.8</v>
      </c>
      <c r="I6" s="17">
        <v>13.66</v>
      </c>
      <c r="J6" s="17">
        <v>20.61</v>
      </c>
      <c r="K6" s="17">
        <v>16</v>
      </c>
      <c r="L6" s="17">
        <v>15.08</v>
      </c>
      <c r="M6" s="17">
        <v>15.03</v>
      </c>
      <c r="N6" s="17">
        <v>27.62</v>
      </c>
      <c r="O6" s="17">
        <v>17.84</v>
      </c>
      <c r="P6" s="17">
        <v>14.47</v>
      </c>
      <c r="Q6" s="17">
        <v>15.79</v>
      </c>
      <c r="R6" s="17">
        <v>16.309999999999999</v>
      </c>
      <c r="S6" s="17">
        <v>16.62</v>
      </c>
      <c r="T6" s="17">
        <v>16.399999999999999</v>
      </c>
      <c r="U6" s="17">
        <v>15.45</v>
      </c>
      <c r="V6" s="17">
        <v>16.73</v>
      </c>
      <c r="W6" s="17">
        <v>17.149999999999999</v>
      </c>
      <c r="X6" s="17">
        <v>17.829999999999998</v>
      </c>
      <c r="Y6" s="17">
        <v>19.34</v>
      </c>
      <c r="Z6" s="17">
        <v>17.11</v>
      </c>
      <c r="AA6" s="17">
        <v>16.559999999999999</v>
      </c>
      <c r="AB6" s="17">
        <v>18.34</v>
      </c>
      <c r="AC6" s="17">
        <v>18.940000000000001</v>
      </c>
      <c r="AD6" s="17"/>
      <c r="AE6" s="17">
        <v>12.97</v>
      </c>
      <c r="AF6" s="17">
        <v>23.98</v>
      </c>
      <c r="AG6" s="17">
        <v>21.97</v>
      </c>
      <c r="AH6" s="17">
        <v>19.239999999999998</v>
      </c>
      <c r="AI6" s="17">
        <v>18.48</v>
      </c>
      <c r="AJ6" s="17">
        <v>18.600000000000001</v>
      </c>
      <c r="AK6" s="17">
        <v>23.24</v>
      </c>
      <c r="AL6" s="17">
        <v>24.11</v>
      </c>
      <c r="AM6" s="17">
        <v>18.739999999999998</v>
      </c>
      <c r="AN6" s="17">
        <v>16.63</v>
      </c>
      <c r="AO6" s="17">
        <v>20.39</v>
      </c>
      <c r="AP6" s="17">
        <v>27.06</v>
      </c>
      <c r="AQ6" s="17">
        <v>12.3</v>
      </c>
    </row>
    <row r="7" spans="1:43" ht="14.1" customHeight="1">
      <c r="A7" s="10">
        <v>4</v>
      </c>
      <c r="B7" s="11" t="s">
        <v>19</v>
      </c>
      <c r="C7" s="16" t="s">
        <v>5</v>
      </c>
      <c r="D7" s="16" t="s">
        <v>11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>
        <v>129</v>
      </c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>
      <c r="F8" s="3">
        <f>F5/F6</f>
        <v>29.918755401901471</v>
      </c>
      <c r="G8" s="3">
        <f t="shared" ref="G8:AQ8" si="0">G5/G6</f>
        <v>2.0942028985507246</v>
      </c>
      <c r="H8" s="3">
        <f t="shared" si="0"/>
        <v>1.2157407407407408</v>
      </c>
      <c r="I8" s="3">
        <f t="shared" si="0"/>
        <v>1.4897510980966326</v>
      </c>
      <c r="J8" s="3">
        <f t="shared" si="0"/>
        <v>1.4046579330422124</v>
      </c>
      <c r="K8" s="3">
        <f t="shared" si="0"/>
        <v>1.4468749999999999</v>
      </c>
      <c r="L8" s="3">
        <f t="shared" si="0"/>
        <v>1.4230769230769231</v>
      </c>
      <c r="M8" s="3">
        <f t="shared" si="0"/>
        <v>1.355954757152362</v>
      </c>
      <c r="N8" s="3">
        <f t="shared" si="0"/>
        <v>1.1017378711078927</v>
      </c>
      <c r="O8" s="3">
        <f t="shared" si="0"/>
        <v>1.8531390134529149</v>
      </c>
      <c r="P8" s="3">
        <f t="shared" si="0"/>
        <v>1.9094678645473391</v>
      </c>
      <c r="Q8" s="3">
        <f t="shared" si="0"/>
        <v>1.7251424952501584</v>
      </c>
      <c r="R8" s="3">
        <f t="shared" si="0"/>
        <v>1.9061925199264256</v>
      </c>
      <c r="S8" s="3">
        <f t="shared" si="0"/>
        <v>1.9494584837545124</v>
      </c>
      <c r="T8" s="3">
        <f t="shared" si="0"/>
        <v>2.4597560975609762</v>
      </c>
      <c r="U8" s="3">
        <f t="shared" si="0"/>
        <v>3.7113268608414245</v>
      </c>
      <c r="V8" s="3">
        <f t="shared" si="0"/>
        <v>4.450687387925881</v>
      </c>
      <c r="W8" s="3">
        <f t="shared" si="0"/>
        <v>7.7137026239067055</v>
      </c>
      <c r="X8" s="3">
        <f t="shared" si="0"/>
        <v>8.426247896803142</v>
      </c>
      <c r="Y8" s="3">
        <f t="shared" si="0"/>
        <v>9.5429162357807655</v>
      </c>
      <c r="Z8" s="3">
        <f t="shared" si="0"/>
        <v>14.334891876095851</v>
      </c>
      <c r="AA8" s="3">
        <f t="shared" si="0"/>
        <v>15.019323671497586</v>
      </c>
      <c r="AB8" s="3">
        <f t="shared" si="0"/>
        <v>13.35659760087241</v>
      </c>
      <c r="AC8" s="3">
        <f t="shared" si="0"/>
        <v>18.809398099260822</v>
      </c>
      <c r="AD8" s="3" t="e">
        <f t="shared" si="0"/>
        <v>#DIV/0!</v>
      </c>
      <c r="AE8" s="3">
        <f t="shared" si="0"/>
        <v>16.92444101773323</v>
      </c>
      <c r="AF8" s="3">
        <f t="shared" si="0"/>
        <v>2.726438698915763</v>
      </c>
      <c r="AG8" s="3">
        <f t="shared" si="0"/>
        <v>2.0350477924442423</v>
      </c>
      <c r="AH8" s="3">
        <f t="shared" si="0"/>
        <v>1.9287941787941789</v>
      </c>
      <c r="AI8" s="3">
        <f t="shared" si="0"/>
        <v>1.9642857142857142</v>
      </c>
      <c r="AJ8" s="3">
        <f t="shared" si="0"/>
        <v>1.846774193548387</v>
      </c>
      <c r="AK8" s="3">
        <f t="shared" si="0"/>
        <v>1.8184165232358003</v>
      </c>
      <c r="AL8" s="3">
        <f t="shared" si="0"/>
        <v>1.2181667357942763</v>
      </c>
      <c r="AM8" s="3">
        <f t="shared" si="0"/>
        <v>1.6552828175026681</v>
      </c>
      <c r="AN8" s="3">
        <f t="shared" si="0"/>
        <v>1.487071557426338</v>
      </c>
      <c r="AO8" s="3">
        <f t="shared" si="0"/>
        <v>2.3756743501716526</v>
      </c>
      <c r="AP8" s="3">
        <f t="shared" si="0"/>
        <v>3.2690317812269032</v>
      </c>
      <c r="AQ8" s="3">
        <f t="shared" si="0"/>
        <v>3.0162601626016259</v>
      </c>
    </row>
    <row r="10" spans="1:43" s="2" customFormat="1">
      <c r="A10" s="13" t="s">
        <v>12</v>
      </c>
      <c r="B10" s="4"/>
      <c r="C10" s="1"/>
      <c r="D10" s="1"/>
      <c r="F10" s="1" t="s">
        <v>15</v>
      </c>
      <c r="V10" s="1"/>
      <c r="AC10" s="1" t="s">
        <v>16</v>
      </c>
    </row>
    <row r="11" spans="1:43" s="2" customFormat="1">
      <c r="A11" s="13" t="s">
        <v>20</v>
      </c>
      <c r="B11" s="4"/>
      <c r="C11" s="1"/>
      <c r="D11" s="1"/>
      <c r="E11" s="1"/>
      <c r="H11" s="2" t="s">
        <v>13</v>
      </c>
      <c r="I11" s="2" t="s">
        <v>13</v>
      </c>
      <c r="J11" s="2" t="s">
        <v>13</v>
      </c>
      <c r="K11" s="2" t="s">
        <v>13</v>
      </c>
      <c r="L11" s="2" t="s">
        <v>13</v>
      </c>
      <c r="M11" s="2" t="s">
        <v>13</v>
      </c>
      <c r="N11" s="2" t="s">
        <v>13</v>
      </c>
      <c r="O11" s="2" t="s">
        <v>14</v>
      </c>
      <c r="P11" s="2" t="s">
        <v>14</v>
      </c>
      <c r="Q11" s="2" t="s">
        <v>14</v>
      </c>
      <c r="R11" s="2" t="s">
        <v>14</v>
      </c>
      <c r="S11" s="2" t="s">
        <v>14</v>
      </c>
      <c r="T11" s="2" t="s">
        <v>14</v>
      </c>
      <c r="U11" s="2" t="s">
        <v>14</v>
      </c>
      <c r="V11" s="2" t="s">
        <v>14</v>
      </c>
      <c r="W11" s="2" t="s">
        <v>60</v>
      </c>
      <c r="AE11" s="2" t="s">
        <v>61</v>
      </c>
      <c r="AF11" s="2" t="s">
        <v>62</v>
      </c>
      <c r="AG11" s="2" t="s">
        <v>63</v>
      </c>
      <c r="AH11" s="2" t="s">
        <v>63</v>
      </c>
      <c r="AI11" s="2" t="s">
        <v>63</v>
      </c>
      <c r="AJ11" s="2" t="s">
        <v>63</v>
      </c>
      <c r="AK11" s="2" t="s">
        <v>63</v>
      </c>
      <c r="AL11" s="2" t="s">
        <v>63</v>
      </c>
      <c r="AM11" s="2" t="s">
        <v>63</v>
      </c>
      <c r="AN11" s="2" t="s">
        <v>63</v>
      </c>
      <c r="AO11" s="2" t="s">
        <v>63</v>
      </c>
      <c r="AP11" s="2" t="s">
        <v>63</v>
      </c>
      <c r="AQ11" s="2" t="s">
        <v>63</v>
      </c>
    </row>
    <row r="12" spans="1:43">
      <c r="A12" s="2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FPMMI00101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cmc</dc:creator>
  <cp:lastModifiedBy>CMC</cp:lastModifiedBy>
  <dcterms:created xsi:type="dcterms:W3CDTF">2025-05-07T05:27:38Z</dcterms:created>
  <dcterms:modified xsi:type="dcterms:W3CDTF">2025-05-12T08:05:38Z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zMTk0IiwibG9nVGltZSI6IjIwMjUtMDUtMDdUMDg6MTc6MDBaIiwicElEIjoxLCJ0cmFjZUlkIjoiMUQ5ODZFQUNCREFGNDlGNDkwOUQ3OTQ4RDkxMjM0RjgiLCJ1c2VyQ29kZSI6IjIwODAwMTgzIn0sIm5vZGUyIjp7ImRzZCI6IjAxMDAwMDAwMDAwMDMxOTQiLCJsb2dUaW1lIjoiMjAyNS0wNS0wN1QwODoxNzowMFoiLCJwSUQiOjEsInRyYWNlSWQiOiIxRDk4NkVBQ0JEQUY0OUY0OTA5RDc5NDhEOTEyMzRGOCIsInVzZXJDb2RlIjoiMjA4MDAxODMifSwibm9kZTMiOnsiZHNkIjoiMDAwMDAwMDAwMDAwMDAwMCIsImxvZ1RpbWUiOiIyMDI1LTA1LTA4VDA4OjUyOjMzWiIsInBJRCI6MjA0OCwidHJhY2VJZCI6IkMzREE4RkU3OUI0RTQ3MjdCMkZENUNFOUI4MkM1RTJFIiwidXNlckNvZGUiOiIyMDgwMDE4MyJ9LCJub2RlNCI6eyJkc2QiOiIwMTAwMDAwMDAwMDAzMTk0IiwibG9nVGltZSI6IjIwMjUtMDUtMTJUMDg6MDU6MzhaIiwicElEIjoxLCJ0cmFjZUlkIjoiNkY1OEZERjIxMDZENEMwRDkwNUU3QUY1QUFENzQ2NDUiLCJ1c2VyQ29kZSI6IjIwODAwMTgzIn0sIm5vZGU1Ijp7ImRzZCI6IjAwMDAwMDAwMDAwMDAwMDAiLCJsb2dUaW1lIjoiMjAyNS0wNS0xMlQwODozMTowN1oiLCJwSUQiOjIwNDgsInRyYWNlSWQiOiIxQ0I4M0JCRDdFNjc0QUIyQkI3RjE0MDVGNEFFM0Y2MyIsInVzZXJDb2RlIjoiMjA4MDAxODMifSwibm9kZUNvdW50Ijo0fQ==</vt:lpwstr>
  </property>
</Properties>
</file>