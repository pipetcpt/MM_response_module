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8" i="1" l="1"/>
  <c r="AI8" i="1"/>
  <c r="AJ8" i="1"/>
  <c r="AK8" i="1"/>
  <c r="AL8" i="1"/>
  <c r="AM8" i="1"/>
  <c r="AN8" i="1"/>
  <c r="AG8" i="1"/>
</calcChain>
</file>

<file path=xl/sharedStrings.xml><?xml version="1.0" encoding="utf-8"?>
<sst xmlns="http://schemas.openxmlformats.org/spreadsheetml/2006/main" count="151" uniqueCount="106">
  <si>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</si>
  <si>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</si>
  <si>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</si>
  <si>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</si>
  <si>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</si>
  <si>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</si>
  <si>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</si>
  <si>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</si>
  <si>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</si>
  <si>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</si>
  <si>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</si>
  <si>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</si>
  <si>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</si>
  <si>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</t>
    <phoneticPr fontId="3" type="noConversion"/>
  </si>
  <si>
    <t>VGPR</t>
    <phoneticPr fontId="3" type="noConversion"/>
  </si>
  <si>
    <t>CR</t>
    <phoneticPr fontId="3" type="noConversion"/>
  </si>
  <si>
    <t>Baseline for 1st line</t>
    <phoneticPr fontId="3" type="noConversion"/>
  </si>
  <si>
    <t>Baseline for 2nd line</t>
    <phoneticPr fontId="3" type="noConversion"/>
  </si>
  <si>
    <t>Progression (영상적 재발)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</si>
  <si>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</si>
  <si>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</si>
  <si>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</si>
  <si>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</si>
  <si>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</si>
  <si>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2021-
10-21
12:37</t>
  </si>
  <si>
    <t>2021-
11-15
08:58</t>
  </si>
  <si>
    <t>2021-
12-07
10:18</t>
  </si>
  <si>
    <t>2022-
01-18
11:53</t>
  </si>
  <si>
    <t>2022-
03-08
12:10</t>
  </si>
  <si>
    <t>2022-
04-19
10:24</t>
  </si>
  <si>
    <t>2022-
05-31
11:01</t>
  </si>
  <si>
    <t>2022-
06-09
12:42</t>
  </si>
  <si>
    <t>2022-
06-16
12:43</t>
  </si>
  <si>
    <t>2022-
06-20
04:51</t>
  </si>
  <si>
    <t>2022-
06-28
08:00</t>
  </si>
  <si>
    <t>2022-
07-15
09:44</t>
  </si>
  <si>
    <t>2022-
07-22
22:02</t>
  </si>
  <si>
    <t>2022-
07-25
05:06</t>
  </si>
  <si>
    <t>2022-
08-01
04:12</t>
  </si>
  <si>
    <t>2022-
08-01
06:36</t>
  </si>
  <si>
    <t>2022-
08-08
05:39</t>
  </si>
  <si>
    <t>2022-
08-19
09:38</t>
  </si>
  <si>
    <t>2022-
08-29
08:50</t>
  </si>
  <si>
    <t>2022-
09-26
10:07</t>
  </si>
  <si>
    <t>2022-
10-12
10:12</t>
  </si>
  <si>
    <t>2022-
10-14
16:21</t>
  </si>
  <si>
    <t>2022-
10-17
04:59</t>
  </si>
  <si>
    <t>2022-
10-18
10:05</t>
  </si>
  <si>
    <t>2022-
10-24
07:35</t>
  </si>
  <si>
    <t>2022-
10-31
04:40</t>
  </si>
  <si>
    <t>2022-
11-10
10:04</t>
  </si>
  <si>
    <t>2022-
11-19
18:52</t>
  </si>
  <si>
    <t>2022-
11-28
04:35</t>
  </si>
  <si>
    <t>2022-
12-05
09:09</t>
  </si>
  <si>
    <t>2022-
12-20
13:33</t>
  </si>
  <si>
    <t>2023-
01-02
17:08</t>
  </si>
  <si>
    <t>2023-
01-16
04:12</t>
  </si>
  <si>
    <t>2023-
01-30
06:54</t>
  </si>
  <si>
    <t>2023-
02-16
10:38</t>
  </si>
  <si>
    <t>2023-
03-24
08:05</t>
  </si>
  <si>
    <t>2023-
04-17
08:22</t>
  </si>
  <si>
    <t>2023-
05-04
08:23</t>
  </si>
  <si>
    <t>2023-
06-05
08:36</t>
  </si>
  <si>
    <t>2023-
07-03
08:25</t>
  </si>
  <si>
    <t>2023-
07-31
08:36</t>
  </si>
  <si>
    <t>2023-
09-15
07:41</t>
  </si>
  <si>
    <t>2023-
11-10
08:20</t>
  </si>
  <si>
    <t>2024-
01-05
08:23</t>
  </si>
  <si>
    <t>2024-
03-15
08:21</t>
  </si>
  <si>
    <t>2024-
04-12
08:18</t>
  </si>
  <si>
    <t>2024-
05-10
08:37</t>
  </si>
  <si>
    <t>2024-
05-13
10:51</t>
  </si>
  <si>
    <t>2024-
05-20
16:10</t>
  </si>
  <si>
    <t>2024-
05-27
04:07</t>
  </si>
  <si>
    <t>2024-
06-03
07:42</t>
  </si>
  <si>
    <t>2024-
06-17
08:20</t>
  </si>
  <si>
    <t>2024-
07-15
08:19</t>
  </si>
  <si>
    <t>2024-
08-12
08:21</t>
  </si>
  <si>
    <t>2024-
08-26
08:19</t>
  </si>
  <si>
    <t>2024-
09-20
08:45</t>
  </si>
  <si>
    <t>2024-
10-21
08:33</t>
  </si>
  <si>
    <t>2024-
10-23
04:54</t>
  </si>
  <si>
    <t>2024-
11-22
08:16</t>
  </si>
  <si>
    <t>2024-
12-20
08:21</t>
  </si>
  <si>
    <t>2025-
01-17
08:34</t>
  </si>
  <si>
    <t>2025-
03-04
07:19</t>
  </si>
  <si>
    <t>2025-
03-14
08:37</t>
  </si>
  <si>
    <t>2025-
03-21
17:14</t>
  </si>
  <si>
    <t>2025-
03-21
19:31</t>
  </si>
  <si>
    <t>2025-
03-25
09:09</t>
  </si>
  <si>
    <t>2025-
03-28
07:02</t>
  </si>
  <si>
    <t>2025-
04-11
08:22</t>
  </si>
  <si>
    <t>2025-
04-19
05:15</t>
  </si>
  <si>
    <t>2025-
04-21
07:19</t>
  </si>
  <si>
    <t>2025-
04-21
07:20</t>
  </si>
  <si>
    <t>2025-
05-02
09:15</t>
  </si>
  <si>
    <t>2025-
05-16
09:31</t>
  </si>
  <si>
    <t>Baseline for 4th line</t>
    <phoneticPr fontId="3" type="noConversion"/>
  </si>
  <si>
    <t>Baseline for 3rd line</t>
    <phoneticPr fontId="3" type="noConversion"/>
  </si>
  <si>
    <t>MR</t>
    <phoneticPr fontId="3" type="noConversion"/>
  </si>
  <si>
    <t>PR</t>
    <phoneticPr fontId="3" type="noConversion"/>
  </si>
  <si>
    <t>progression</t>
    <phoneticPr fontId="3" type="noConversion"/>
  </si>
  <si>
    <t>VGPR</t>
    <phoneticPr fontId="3" type="noConversion"/>
  </si>
  <si>
    <t>progression (영상적재발)</t>
    <phoneticPr fontId="3" type="noConversion"/>
  </si>
  <si>
    <t>Baseline for 5th line</t>
    <phoneticPr fontId="3" type="noConversion"/>
  </si>
  <si>
    <t>Baseline for 6th line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</si>
</sst>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Z12"/>
  <sheetViews>
    <sheetView tabSelected="1" topLeftCell="BE1" zoomScaleNormal="100" workbookViewId="0">
      <selection activeCell="BS11" sqref="BS11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1" width="7.375" style="3" customWidth="1"/>
    <col min="32" max="32" width="8.875" style="3"/>
    <col min="33" max="33" width="12.125" style="3" bestFit="1" customWidth="1"/>
    <col min="34" max="16384" width="8.875" style="3"/>
  </cols>
  <sheetData>
    <row r="3" spans="1:78" ht="27.95" customHeight="1">
      <c r="A3" s="6" t="s">
        <v>0</v>
      </c>
      <c r="B3" s="7" t="s">
        <v>1</v>
      </c>
      <c r="C3" s="15" t="s">
        <v>2</v>
      </c>
      <c r="D3" s="15" t="s">
        <v>3</v>
      </c>
      <c r="E3" s="15" t="s">
        <v>4</v>
      </c>
      <c r="F3" s="15" t="s">
        <v>24</v>
      </c>
      <c r="G3" s="15" t="s">
        <v>25</v>
      </c>
      <c r="H3" s="15" t="s">
        <v>26</v>
      </c>
      <c r="I3" s="15" t="s">
        <v>27</v>
      </c>
      <c r="J3" s="15" t="s">
        <v>28</v>
      </c>
      <c r="K3" s="15" t="s">
        <v>29</v>
      </c>
      <c r="L3" s="15" t="s">
        <v>30</v>
      </c>
      <c r="M3" s="15" t="s">
        <v>31</v>
      </c>
      <c r="N3" s="15" t="s">
        <v>32</v>
      </c>
      <c r="O3" s="15" t="s">
        <v>33</v>
      </c>
      <c r="P3" s="15" t="s">
        <v>34</v>
      </c>
      <c r="Q3" s="15" t="s">
        <v>35</v>
      </c>
      <c r="R3" s="15" t="s">
        <v>36</v>
      </c>
      <c r="S3" s="15" t="s">
        <v>37</v>
      </c>
      <c r="T3" s="15" t="s">
        <v>38</v>
      </c>
      <c r="U3" s="15" t="s">
        <v>39</v>
      </c>
      <c r="V3" s="15" t="s">
        <v>40</v>
      </c>
      <c r="W3" s="15" t="s">
        <v>41</v>
      </c>
      <c r="X3" s="15" t="s">
        <v>42</v>
      </c>
      <c r="Y3" s="15" t="s">
        <v>43</v>
      </c>
      <c r="Z3" s="15" t="s">
        <v>44</v>
      </c>
      <c r="AA3" s="15" t="s">
        <v>45</v>
      </c>
      <c r="AB3" s="15" t="s">
        <v>46</v>
      </c>
      <c r="AC3" s="15" t="s">
        <v>47</v>
      </c>
      <c r="AD3" s="15" t="s">
        <v>48</v>
      </c>
      <c r="AE3" s="15" t="s">
        <v>49</v>
      </c>
      <c r="AF3" s="15" t="s">
        <v>50</v>
      </c>
      <c r="AG3" s="15" t="s">
        <v>51</v>
      </c>
      <c r="AH3" s="15" t="s">
        <v>52</v>
      </c>
      <c r="AI3" s="15" t="s">
        <v>53</v>
      </c>
      <c r="AJ3" s="15" t="s">
        <v>54</v>
      </c>
      <c r="AK3" s="15" t="s">
        <v>55</v>
      </c>
      <c r="AL3" s="15" t="s">
        <v>56</v>
      </c>
      <c r="AM3" s="15" t="s">
        <v>57</v>
      </c>
      <c r="AN3" s="15" t="s">
        <v>58</v>
      </c>
      <c r="AO3" s="15" t="s">
        <v>59</v>
      </c>
      <c r="AP3" s="15" t="s">
        <v>60</v>
      </c>
      <c r="AQ3" s="15" t="s">
        <v>61</v>
      </c>
      <c r="AR3" s="15" t="s">
        <v>62</v>
      </c>
      <c r="AS3" s="15" t="s">
        <v>63</v>
      </c>
      <c r="AT3" s="15" t="s">
        <v>64</v>
      </c>
      <c r="AU3" s="15" t="s">
        <v>65</v>
      </c>
      <c r="AV3" s="15" t="s">
        <v>66</v>
      </c>
      <c r="AW3" s="15" t="s">
        <v>67</v>
      </c>
      <c r="AX3" s="15" t="s">
        <v>68</v>
      </c>
      <c r="AY3" s="15" t="s">
        <v>69</v>
      </c>
      <c r="AZ3" s="15" t="s">
        <v>70</v>
      </c>
      <c r="BA3" s="15" t="s">
        <v>71</v>
      </c>
      <c r="BB3" s="15" t="s">
        <v>72</v>
      </c>
      <c r="BC3" s="15" t="s">
        <v>73</v>
      </c>
      <c r="BD3" s="15" t="s">
        <v>74</v>
      </c>
      <c r="BE3" s="15" t="s">
        <v>75</v>
      </c>
      <c r="BF3" s="15" t="s">
        <v>76</v>
      </c>
      <c r="BG3" s="15" t="s">
        <v>77</v>
      </c>
      <c r="BH3" s="15" t="s">
        <v>78</v>
      </c>
      <c r="BI3" s="15" t="s">
        <v>79</v>
      </c>
      <c r="BJ3" s="15" t="s">
        <v>80</v>
      </c>
      <c r="BK3" s="15" t="s">
        <v>81</v>
      </c>
      <c r="BL3" s="15" t="s">
        <v>82</v>
      </c>
      <c r="BM3" s="15" t="s">
        <v>83</v>
      </c>
      <c r="BN3" s="15" t="s">
        <v>84</v>
      </c>
      <c r="BO3" s="15" t="s">
        <v>85</v>
      </c>
      <c r="BP3" s="15" t="s">
        <v>86</v>
      </c>
      <c r="BQ3" s="15" t="s">
        <v>87</v>
      </c>
      <c r="BR3" s="15" t="s">
        <v>88</v>
      </c>
      <c r="BS3" s="15" t="s">
        <v>89</v>
      </c>
      <c r="BT3" s="15" t="s">
        <v>90</v>
      </c>
      <c r="BU3" s="15" t="s">
        <v>91</v>
      </c>
      <c r="BV3" s="15" t="s">
        <v>92</v>
      </c>
      <c r="BW3" s="15" t="s">
        <v>93</v>
      </c>
      <c r="BX3" s="15" t="s">
        <v>94</v>
      </c>
      <c r="BY3" s="15" t="s">
        <v>95</v>
      </c>
      <c r="BZ3" s="15" t="s">
        <v>96</v>
      </c>
    </row>
    <row r="4" spans="1:78" ht="14.1" customHeight="1">
      <c r="A4" s="8">
        <v>1</v>
      </c>
      <c r="B4" s="9" t="s">
        <v>19</v>
      </c>
      <c r="C4" s="16" t="s">
        <v>5</v>
      </c>
      <c r="D4" s="16" t="s">
        <v>6</v>
      </c>
      <c r="E4" s="16"/>
      <c r="F4" s="16">
        <v>0.66</v>
      </c>
      <c r="G4" s="16">
        <v>0.41</v>
      </c>
      <c r="H4" s="16">
        <v>0.2</v>
      </c>
      <c r="I4" s="16">
        <v>0.14000000000000001</v>
      </c>
      <c r="J4" s="16">
        <v>0</v>
      </c>
      <c r="K4" s="16">
        <v>0</v>
      </c>
      <c r="L4" s="16">
        <v>0.04</v>
      </c>
      <c r="M4" s="16">
        <v>7.0000000000000007E-2</v>
      </c>
      <c r="N4" s="16"/>
      <c r="O4" s="16"/>
      <c r="P4" s="16">
        <v>0.09</v>
      </c>
      <c r="Q4" s="16">
        <v>0.1</v>
      </c>
      <c r="R4" s="16">
        <v>0.1</v>
      </c>
      <c r="S4" s="16"/>
      <c r="T4" s="16">
        <v>0.05</v>
      </c>
      <c r="U4" s="16"/>
      <c r="V4" s="16"/>
      <c r="W4" s="16">
        <v>0.05</v>
      </c>
      <c r="X4" s="16">
        <v>0.06</v>
      </c>
      <c r="Y4" s="16">
        <v>0.13</v>
      </c>
      <c r="Z4" s="16">
        <v>0.2</v>
      </c>
      <c r="AA4" s="16"/>
      <c r="AB4" s="16"/>
      <c r="AC4" s="16"/>
      <c r="AD4" s="16">
        <v>0.19</v>
      </c>
      <c r="AE4" s="16">
        <v>0.16</v>
      </c>
      <c r="AF4" s="16"/>
      <c r="AG4" s="16">
        <v>0.1</v>
      </c>
      <c r="AH4" s="16">
        <v>0.03</v>
      </c>
      <c r="AI4" s="16">
        <v>0.03</v>
      </c>
      <c r="AJ4" s="16">
        <v>0.01</v>
      </c>
      <c r="AK4" s="16">
        <v>0</v>
      </c>
      <c r="AL4" s="16"/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0.04</v>
      </c>
      <c r="AZ4" s="16">
        <v>0.2</v>
      </c>
      <c r="BA4" s="16"/>
      <c r="BB4" s="16">
        <v>0.17</v>
      </c>
      <c r="BC4" s="16"/>
      <c r="BD4" s="16">
        <v>0.13</v>
      </c>
      <c r="BE4" s="16">
        <v>7.0000000000000007E-2</v>
      </c>
      <c r="BF4" s="16">
        <v>0.05</v>
      </c>
      <c r="BG4" s="16">
        <v>0</v>
      </c>
      <c r="BH4" s="16">
        <v>0</v>
      </c>
      <c r="BI4" s="16">
        <v>0</v>
      </c>
      <c r="BJ4" s="16">
        <v>0</v>
      </c>
      <c r="BK4" s="16"/>
      <c r="BL4" s="16">
        <v>0.08</v>
      </c>
      <c r="BM4" s="16">
        <v>0.04</v>
      </c>
      <c r="BN4" s="16">
        <v>0.03</v>
      </c>
      <c r="BO4" s="16">
        <v>0.05</v>
      </c>
      <c r="BP4" s="16">
        <v>7.0000000000000007E-2</v>
      </c>
      <c r="BQ4" s="16"/>
      <c r="BR4" s="16">
        <v>0.08</v>
      </c>
      <c r="BS4" s="16"/>
      <c r="BT4" s="16">
        <v>0.14000000000000001</v>
      </c>
      <c r="BU4" s="16">
        <v>0.16</v>
      </c>
      <c r="BV4" s="16"/>
      <c r="BW4" s="16"/>
      <c r="BX4" s="16">
        <v>0.12</v>
      </c>
      <c r="BY4" s="16">
        <v>0.13</v>
      </c>
      <c r="BZ4" s="16"/>
    </row>
    <row r="5" spans="1:78" ht="14.1" customHeight="1">
      <c r="A5" s="10">
        <v>2</v>
      </c>
      <c r="B5" s="11" t="s">
        <v>20</v>
      </c>
      <c r="C5" s="17" t="s">
        <v>7</v>
      </c>
      <c r="D5" s="17" t="s">
        <v>6</v>
      </c>
      <c r="E5" s="17" t="s">
        <v>8</v>
      </c>
      <c r="F5" s="17">
        <v>826.16</v>
      </c>
      <c r="G5" s="17">
        <v>80.67</v>
      </c>
      <c r="H5" s="17">
        <v>46.5</v>
      </c>
      <c r="I5" s="17">
        <v>39.57</v>
      </c>
      <c r="J5" s="17">
        <v>42.51</v>
      </c>
      <c r="K5" s="17">
        <v>57.77</v>
      </c>
      <c r="L5" s="17">
        <v>129.99</v>
      </c>
      <c r="M5" s="17">
        <v>130.38999999999999</v>
      </c>
      <c r="N5" s="17">
        <v>170.84</v>
      </c>
      <c r="O5" s="17">
        <v>138.03</v>
      </c>
      <c r="P5" s="17">
        <v>178.19</v>
      </c>
      <c r="Q5" s="17">
        <v>230.06</v>
      </c>
      <c r="R5" s="17">
        <v>263.42</v>
      </c>
      <c r="S5" s="17">
        <v>226.78</v>
      </c>
      <c r="T5" s="17"/>
      <c r="U5" s="17">
        <v>124.27</v>
      </c>
      <c r="V5" s="17">
        <v>83.46</v>
      </c>
      <c r="W5" s="17">
        <v>167.8</v>
      </c>
      <c r="X5" s="17">
        <v>323.27</v>
      </c>
      <c r="Y5" s="17">
        <v>434.63</v>
      </c>
      <c r="Z5" s="17">
        <v>479.11</v>
      </c>
      <c r="AA5" s="17">
        <v>475.09</v>
      </c>
      <c r="AB5" s="17">
        <v>369.03</v>
      </c>
      <c r="AC5" s="17"/>
      <c r="AD5" s="17">
        <v>231.68</v>
      </c>
      <c r="AE5" s="17">
        <v>57.29</v>
      </c>
      <c r="AF5" s="17">
        <v>58.54</v>
      </c>
      <c r="AG5" s="17">
        <v>68.05</v>
      </c>
      <c r="AH5" s="17">
        <v>14.17</v>
      </c>
      <c r="AI5" s="17">
        <v>12.19</v>
      </c>
      <c r="AJ5" s="17">
        <v>55.62</v>
      </c>
      <c r="AK5" s="17">
        <v>48.74</v>
      </c>
      <c r="AL5" s="17">
        <v>7.4</v>
      </c>
      <c r="AM5" s="17">
        <v>12.28</v>
      </c>
      <c r="AN5" s="17">
        <v>40.520000000000003</v>
      </c>
      <c r="AO5" s="17">
        <v>23.9</v>
      </c>
      <c r="AP5" s="17">
        <v>29.91</v>
      </c>
      <c r="AQ5" s="17">
        <v>52.06</v>
      </c>
      <c r="AR5" s="17">
        <v>52.2</v>
      </c>
      <c r="AS5" s="17">
        <v>72.040000000000006</v>
      </c>
      <c r="AT5" s="17">
        <v>50.97</v>
      </c>
      <c r="AU5" s="17">
        <v>61.25</v>
      </c>
      <c r="AV5" s="17">
        <v>96.65</v>
      </c>
      <c r="AW5" s="17">
        <v>41.48</v>
      </c>
      <c r="AX5" s="17">
        <v>176.33</v>
      </c>
      <c r="AY5" s="17">
        <v>271.64999999999998</v>
      </c>
      <c r="AZ5" s="17">
        <v>572.95000000000005</v>
      </c>
      <c r="BA5" s="17"/>
      <c r="BB5" s="17">
        <v>109.65</v>
      </c>
      <c r="BC5" s="17">
        <v>137.63999999999999</v>
      </c>
      <c r="BD5" s="17">
        <v>70.319999999999993</v>
      </c>
      <c r="BE5" s="17">
        <v>81.540000000000006</v>
      </c>
      <c r="BF5" s="17">
        <v>82.56</v>
      </c>
      <c r="BG5" s="17">
        <v>140.30000000000001</v>
      </c>
      <c r="BH5" s="17">
        <v>75.83</v>
      </c>
      <c r="BI5" s="17">
        <v>107.07</v>
      </c>
      <c r="BJ5" s="17">
        <v>258.7</v>
      </c>
      <c r="BK5" s="17"/>
      <c r="BL5" s="17">
        <v>24.35</v>
      </c>
      <c r="BM5" s="17">
        <v>16.04</v>
      </c>
      <c r="BN5" s="17">
        <v>35.619999999999997</v>
      </c>
      <c r="BO5" s="17">
        <v>99.61</v>
      </c>
      <c r="BP5" s="17">
        <v>145.29</v>
      </c>
      <c r="BQ5" s="17">
        <v>134.55000000000001</v>
      </c>
      <c r="BR5" s="17"/>
      <c r="BS5" s="17">
        <v>126.03</v>
      </c>
      <c r="BT5" s="17">
        <v>186.37</v>
      </c>
      <c r="BU5" s="17">
        <v>179.79</v>
      </c>
      <c r="BV5" s="17"/>
      <c r="BW5" s="17">
        <v>105.69</v>
      </c>
      <c r="BX5" s="17"/>
      <c r="BY5" s="17">
        <v>84.96</v>
      </c>
      <c r="BZ5" s="17">
        <v>28.04</v>
      </c>
    </row>
    <row r="6" spans="1:78" ht="14.1" customHeight="1">
      <c r="A6" s="12">
        <v>3</v>
      </c>
      <c r="B6" s="11" t="s">
        <v>23</v>
      </c>
      <c r="C6" s="18" t="s">
        <v>9</v>
      </c>
      <c r="D6" s="18" t="s">
        <v>6</v>
      </c>
      <c r="E6" s="18" t="s">
        <v>10</v>
      </c>
      <c r="F6" s="18">
        <v>51.57</v>
      </c>
      <c r="G6" s="18">
        <v>34.4</v>
      </c>
      <c r="H6" s="18">
        <v>43.9</v>
      </c>
      <c r="I6" s="18">
        <v>47.19</v>
      </c>
      <c r="J6" s="18">
        <v>41.41</v>
      </c>
      <c r="K6" s="18">
        <v>43.45</v>
      </c>
      <c r="L6" s="18">
        <v>50.96</v>
      </c>
      <c r="M6" s="18">
        <v>49.18</v>
      </c>
      <c r="N6" s="18">
        <v>55.41</v>
      </c>
      <c r="O6" s="18">
        <v>44.55</v>
      </c>
      <c r="P6" s="18">
        <v>56.01</v>
      </c>
      <c r="Q6" s="18">
        <v>72.599999999999994</v>
      </c>
      <c r="R6" s="18">
        <v>56.29</v>
      </c>
      <c r="S6" s="18">
        <v>50.65</v>
      </c>
      <c r="T6" s="18"/>
      <c r="U6" s="18">
        <v>21.32</v>
      </c>
      <c r="V6" s="18">
        <v>9.5500000000000007</v>
      </c>
      <c r="W6" s="18">
        <v>15.23</v>
      </c>
      <c r="X6" s="18">
        <v>35.65</v>
      </c>
      <c r="Y6" s="18">
        <v>31.98</v>
      </c>
      <c r="Z6" s="18">
        <v>58.29</v>
      </c>
      <c r="AA6" s="18">
        <v>54.51</v>
      </c>
      <c r="AB6" s="18">
        <v>47.58</v>
      </c>
      <c r="AC6" s="18"/>
      <c r="AD6" s="18">
        <v>23.91</v>
      </c>
      <c r="AE6" s="18">
        <v>24.19</v>
      </c>
      <c r="AF6" s="18">
        <v>37.020000000000003</v>
      </c>
      <c r="AG6" s="18">
        <v>49.91</v>
      </c>
      <c r="AH6" s="18">
        <v>16.95</v>
      </c>
      <c r="AI6" s="18">
        <v>17.34</v>
      </c>
      <c r="AJ6" s="18">
        <v>45.17</v>
      </c>
      <c r="AK6" s="18">
        <v>46.42</v>
      </c>
      <c r="AL6" s="18">
        <v>8.43</v>
      </c>
      <c r="AM6" s="18">
        <v>24.23</v>
      </c>
      <c r="AN6" s="18">
        <v>29.11</v>
      </c>
      <c r="AO6" s="18">
        <v>30.12</v>
      </c>
      <c r="AP6" s="18">
        <v>27.22</v>
      </c>
      <c r="AQ6" s="18">
        <v>31.12</v>
      </c>
      <c r="AR6" s="18">
        <v>37.35</v>
      </c>
      <c r="AS6" s="18">
        <v>46.83</v>
      </c>
      <c r="AT6" s="18">
        <v>33.39</v>
      </c>
      <c r="AU6" s="18">
        <v>68.58</v>
      </c>
      <c r="AV6" s="18">
        <v>69.16</v>
      </c>
      <c r="AW6" s="18">
        <v>35.79</v>
      </c>
      <c r="AX6" s="18">
        <v>56.85</v>
      </c>
      <c r="AY6" s="18">
        <v>48.13</v>
      </c>
      <c r="AZ6" s="18">
        <v>47.17</v>
      </c>
      <c r="BA6" s="18"/>
      <c r="BB6" s="18">
        <v>41.76</v>
      </c>
      <c r="BC6" s="18">
        <v>80.88</v>
      </c>
      <c r="BD6" s="18">
        <v>52.19</v>
      </c>
      <c r="BE6" s="18">
        <v>63.55</v>
      </c>
      <c r="BF6" s="18">
        <v>68.59</v>
      </c>
      <c r="BG6" s="18">
        <v>129.22</v>
      </c>
      <c r="BH6" s="18">
        <v>58.78</v>
      </c>
      <c r="BI6" s="18">
        <v>80.790000000000006</v>
      </c>
      <c r="BJ6" s="18">
        <v>78.94</v>
      </c>
      <c r="BK6" s="18"/>
      <c r="BL6" s="18">
        <v>4.49</v>
      </c>
      <c r="BM6" s="18">
        <v>8.56</v>
      </c>
      <c r="BN6" s="18">
        <v>7.27</v>
      </c>
      <c r="BO6" s="18">
        <v>12.13</v>
      </c>
      <c r="BP6" s="18">
        <v>9.74</v>
      </c>
      <c r="BQ6" s="18">
        <v>6.5</v>
      </c>
      <c r="BR6" s="18"/>
      <c r="BS6" s="18">
        <v>4.22</v>
      </c>
      <c r="BT6" s="18">
        <v>7.76</v>
      </c>
      <c r="BU6" s="18">
        <v>8.99</v>
      </c>
      <c r="BV6" s="18"/>
      <c r="BW6" s="18">
        <v>9.69</v>
      </c>
      <c r="BX6" s="18"/>
      <c r="BY6" s="18">
        <v>29.83</v>
      </c>
      <c r="BZ6" s="18">
        <v>12.39</v>
      </c>
    </row>
    <row r="7" spans="1:78" ht="14.1" customHeight="1">
      <c r="A7" s="10">
        <v>4</v>
      </c>
      <c r="B7" s="11" t="s">
        <v>21</v>
      </c>
      <c r="C7" s="17" t="s">
        <v>5</v>
      </c>
      <c r="D7" s="17" t="s">
        <v>11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>
        <v>67.3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>
        <v>47.7</v>
      </c>
      <c r="BB7" s="17"/>
      <c r="BC7" s="17"/>
      <c r="BD7" s="17"/>
      <c r="BE7" s="17"/>
      <c r="BF7" s="17"/>
      <c r="BG7" s="17"/>
      <c r="BH7" s="17"/>
      <c r="BI7" s="17"/>
      <c r="BJ7" s="17"/>
      <c r="BK7" s="17">
        <v>216.9</v>
      </c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>
        <v>0</v>
      </c>
      <c r="BW7" s="17"/>
      <c r="BX7" s="17"/>
      <c r="BY7" s="17"/>
      <c r="BZ7" s="17"/>
    </row>
    <row r="8" spans="1:78">
      <c r="AG8" s="3">
        <f>AG5/AG6</f>
        <v>1.3634542175916651</v>
      </c>
      <c r="AH8" s="3">
        <f t="shared" ref="AH8:AN8" si="0">AH5/AH6</f>
        <v>0.83598820058997059</v>
      </c>
      <c r="AI8" s="3">
        <f t="shared" si="0"/>
        <v>0.70299884659746248</v>
      </c>
      <c r="AJ8" s="3">
        <f t="shared" si="0"/>
        <v>1.231348239982289</v>
      </c>
      <c r="AK8" s="3">
        <f t="shared" si="0"/>
        <v>1.049978457561396</v>
      </c>
      <c r="AL8" s="3">
        <f t="shared" si="0"/>
        <v>0.87781731909845795</v>
      </c>
      <c r="AM8" s="3">
        <f t="shared" si="0"/>
        <v>0.50680973999174572</v>
      </c>
      <c r="AN8" s="3">
        <f t="shared" si="0"/>
        <v>1.3919615252490554</v>
      </c>
    </row>
    <row r="10" spans="1:78" s="2" customFormat="1">
      <c r="A10" s="13" t="s">
        <v>12</v>
      </c>
      <c r="B10" s="4"/>
      <c r="C10" s="1"/>
      <c r="D10" s="1"/>
      <c r="F10" s="14" t="s">
        <v>16</v>
      </c>
      <c r="S10" s="14" t="s">
        <v>17</v>
      </c>
      <c r="V10" s="1"/>
      <c r="AB10" s="14" t="s">
        <v>98</v>
      </c>
      <c r="AL10" s="14"/>
      <c r="AZ10" s="14" t="s">
        <v>97</v>
      </c>
      <c r="BJ10" s="14" t="s">
        <v>104</v>
      </c>
      <c r="BU10" s="14" t="s">
        <v>105</v>
      </c>
    </row>
    <row r="11" spans="1:78" s="2" customFormat="1">
      <c r="A11" s="13" t="s">
        <v>22</v>
      </c>
      <c r="B11" s="4"/>
      <c r="C11" s="1"/>
      <c r="D11" s="1"/>
      <c r="E11" s="1"/>
      <c r="G11" s="2" t="s">
        <v>99</v>
      </c>
      <c r="H11" s="2" t="s">
        <v>13</v>
      </c>
      <c r="I11" s="2" t="s">
        <v>13</v>
      </c>
      <c r="J11" s="2" t="s">
        <v>14</v>
      </c>
      <c r="K11" s="2" t="s">
        <v>15</v>
      </c>
      <c r="L11" s="2" t="s">
        <v>15</v>
      </c>
      <c r="M11" s="2" t="s">
        <v>15</v>
      </c>
      <c r="N11" s="2" t="s">
        <v>18</v>
      </c>
      <c r="U11" s="2" t="s">
        <v>99</v>
      </c>
      <c r="V11" s="2" t="s">
        <v>99</v>
      </c>
      <c r="W11" s="2" t="s">
        <v>99</v>
      </c>
      <c r="Y11" s="2" t="s">
        <v>101</v>
      </c>
      <c r="AD11" s="2" t="s">
        <v>99</v>
      </c>
      <c r="AE11" s="2" t="s">
        <v>100</v>
      </c>
      <c r="AF11" s="2" t="s">
        <v>100</v>
      </c>
      <c r="AG11" s="2" t="s">
        <v>100</v>
      </c>
      <c r="AH11" s="2" t="s">
        <v>102</v>
      </c>
      <c r="AI11" s="2" t="s">
        <v>102</v>
      </c>
      <c r="AJ11" s="2" t="s">
        <v>102</v>
      </c>
      <c r="AK11" s="2" t="s">
        <v>102</v>
      </c>
      <c r="AL11" s="2" t="s">
        <v>102</v>
      </c>
      <c r="AM11" s="2" t="s">
        <v>102</v>
      </c>
      <c r="AN11" s="2" t="s">
        <v>102</v>
      </c>
      <c r="AO11" s="2" t="s">
        <v>102</v>
      </c>
      <c r="AP11" s="2" t="s">
        <v>102</v>
      </c>
      <c r="AQ11" s="2" t="s">
        <v>102</v>
      </c>
      <c r="AR11" s="2" t="s">
        <v>102</v>
      </c>
      <c r="AS11" s="2" t="s">
        <v>102</v>
      </c>
      <c r="AT11" s="2" t="s">
        <v>102</v>
      </c>
      <c r="AU11" s="2" t="s">
        <v>102</v>
      </c>
      <c r="AV11" s="2" t="s">
        <v>102</v>
      </c>
      <c r="AW11" s="2" t="s">
        <v>102</v>
      </c>
      <c r="AY11" s="2" t="s">
        <v>101</v>
      </c>
      <c r="BB11" s="2" t="s">
        <v>100</v>
      </c>
      <c r="BC11" s="2" t="s">
        <v>100</v>
      </c>
      <c r="BD11" s="2" t="s">
        <v>102</v>
      </c>
      <c r="BE11" s="2" t="s">
        <v>102</v>
      </c>
      <c r="BF11" s="2" t="s">
        <v>102</v>
      </c>
      <c r="BG11" s="2" t="s">
        <v>102</v>
      </c>
      <c r="BH11" s="2" t="s">
        <v>102</v>
      </c>
      <c r="BJ11" s="2" t="s">
        <v>103</v>
      </c>
      <c r="BL11" s="2" t="s">
        <v>102</v>
      </c>
      <c r="BM11" s="2" t="s">
        <v>102</v>
      </c>
      <c r="BN11" s="2" t="s">
        <v>102</v>
      </c>
      <c r="BO11" s="2" t="s">
        <v>102</v>
      </c>
      <c r="BP11" s="2" t="s">
        <v>102</v>
      </c>
      <c r="BR11" s="2" t="s">
        <v>102</v>
      </c>
      <c r="BU11" s="2" t="s">
        <v>103</v>
      </c>
      <c r="BW11" s="2" t="s">
        <v>99</v>
      </c>
      <c r="BY11" s="2" t="s">
        <v>100</v>
      </c>
      <c r="BZ11" s="2" t="s">
        <v>100</v>
      </c>
    </row>
    <row r="12" spans="1:78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2025-05-16T10:47:44Z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ZUMTA6Mzg6NDBaIiwicElEIjoxLCJ0cmFjZUlkIjoiM0M5MDA5NjA5RERCNDI2OUE1MTg0NTc0RTg3M0E0MDgiLCJ1c2VyQ29kZSI6IjIwODAwMTgzIn0sIm5vZGU1Ijp7ImRzZCI6IjAwMDAwMDAwMDAwMDAwMDAiLCJsb2dUaW1lIjoiMjAyNS0wNS0xNlQxMTowNjoyN1oiLCJwSUQiOjIwNDgsInRyYWNlSWQiOiJDQkE5MTlGQTBDQjk0ODk1ODlDNzg5NDU1MDE1OTJBQyIsInVzZXJDb2RlIjoiMjA4MDAxODMifSwibm9kZUNvdW50Ijo0fQ==</vt:lpwstr>
  </property>
</Properties>
</file>